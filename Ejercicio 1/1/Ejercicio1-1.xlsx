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Sharing readOnlyRecommended="0"/>
  <workbookPr/>
  <bookViews>
    <workbookView xWindow="360" yWindow="15" windowWidth="20955" windowHeight="9720" activeTab="1" showHorizontalScroll="1" showVerticalScroll="1"/>
  </bookViews>
  <sheets>
    <sheet name="Hoja4" sheetId="1" state="visible" r:id="rId2"/>
    <sheet name="Hoja2" sheetId="2" state="visible" r:id="rId3"/>
    <sheet name="Hoja1" sheetId="3" state="visible" r:id="rId4"/>
  </sheets>
  <calcPr/>
  <pivotCaches>
    <pivotCache cacheId="0" r:id="rId1"/>
  </pivotCaches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<sst xmlns="http://schemas.openxmlformats.org/spreadsheetml/2006/main" count="31" uniqueCount="31">
  <si>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 xml:space="preserve">Etiquetas de fila</t>
  </si>
  <si>
    <t xml:space="preserve">Contar de Datos</t>
  </si>
  <si>
    <t>53-59,29</t>
  </si>
  <si>
    <t>59,29-65,58</t>
  </si>
  <si>
    <t>65,58-71,87</t>
  </si>
  <si>
    <t>71,87-78,16</t>
  </si>
  <si>
    <t>78,16-84,45</t>
  </si>
  <si>
    <t>84,45-90,74</t>
  </si>
  <si>
    <t>90,74-97,03</t>
  </si>
  <si>
    <t xml:space="preserve">Total general</t>
  </si>
  <si>
    <t>Datos</t>
  </si>
  <si>
    <r>
      <rPr>
        <sz val="10"/>
        <rFont val="Liberation Sans"/>
      </rPr>
      <t xml:space="preserve">1.- En la tabla siguiente se presentan las calificaciones finales que obtuvieron en matemática</t>
    </r>
  </si>
  <si>
    <r>
      <rPr>
        <sz val="10"/>
        <rFont val="Liberation Sans"/>
      </rPr>
      <t xml:space="preserve">80 alumnos de una universidad.</t>
    </r>
  </si>
  <si>
    <r>
      <rPr>
        <sz val="10"/>
        <rFont val="Liberation Sans"/>
      </rPr>
      <t>Máximo</t>
    </r>
  </si>
  <si>
    <r>
      <rPr>
        <sz val="10"/>
        <rFont val="Liberation Sans"/>
      </rPr>
      <t>Mínimo</t>
    </r>
  </si>
  <si>
    <t xml:space="preserve">Mayor Repetido</t>
  </si>
  <si>
    <t>Veces</t>
  </si>
  <si>
    <t xml:space="preserve">Menor Repetido</t>
  </si>
  <si>
    <t>Media</t>
  </si>
  <si>
    <t>Mediana</t>
  </si>
  <si>
    <t>Diferencia</t>
  </si>
  <si>
    <t>Rango</t>
  </si>
  <si>
    <t xml:space="preserve">Regla Sturge</t>
  </si>
  <si>
    <t xml:space="preserve">Rango Clase</t>
  </si>
  <si>
    <t>Clases</t>
  </si>
  <si>
    <t>Variables</t>
  </si>
  <si>
    <t xml:space="preserve">Frecuencias Absolutas</t>
  </si>
  <si>
    <t xml:space="preserve">Frecuencia Relativa</t>
  </si>
  <si>
    <t>(Valor)</t>
  </si>
  <si>
    <t>Simple</t>
  </si>
  <si>
    <t>Acumulada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</si>
</sst>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name val="Liberation Sans"/>
    </font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9" applyNumberFormat="1" applyFont="0" applyFill="0" applyBorder="0"/>
  </cellStyleXfs>
  <cellXfs count="7">
    <xf fontId="0" fillId="0" borderId="0" numFmtId="0" xfId="0" applyProtection="0"/>
    <xf fontId="0" fillId="0" borderId="0" numFmtId="0" xfId="0" applyAlignment="1" applyProtection="0">
      <alignment horizontal="left"/>
    </xf>
    <xf fontId="0" fillId="0" borderId="0" numFmtId="0" xfId="0" applyProtection="0">
      <protection hidden="0" locked="1"/>
    </xf>
    <xf fontId="0" fillId="0" borderId="0" numFmtId="0" xfId="0" applyAlignment="1" applyProtection="0">
      <alignment horizontal="center" vertical="center"/>
    </xf>
    <xf fontId="0" fillId="0" borderId="0" numFmtId="0" xfId="0" applyAlignment="1" applyProtection="0">
      <alignment horizontal="center" vertical="center"/>
    </xf>
    <xf fontId="0" fillId="0" borderId="0" numFmtId="9" xfId="1" applyNumberFormat="1" applyProtection="0"/>
    <xf fontId="0" fillId="0" borderId="0" numFmtId="9" xfId="0" applyNumberFormat="1" applyProtection="0"/>
  </cellXfs>
  <cellStyles count="2">
    <cellStyle name="Default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Hoja4!$A$4:$A$10</c:f>
              <c:strCache>
                <c:ptCount val="7"/>
                <c:pt idx="0">
                  <c:v>53-59,29</c:v>
                </c:pt>
                <c:pt idx="1">
                  <c:v>59,29-65,58</c:v>
                </c:pt>
                <c:pt idx="2">
                  <c:v>65,58-71,87</c:v>
                </c:pt>
                <c:pt idx="3">
                  <c:v>71,87-78,16</c:v>
                </c:pt>
                <c:pt idx="4">
                  <c:v>78,16-84,45</c:v>
                </c:pt>
                <c:pt idx="5">
                  <c:v>84,45-90,74</c:v>
                </c:pt>
                <c:pt idx="6">
                  <c:v>90,74-97,03</c:v>
                </c:pt>
              </c:strCache>
            </c:strRef>
          </c:cat>
          <c:val>
            <c:numRef>
              <c:f>Hoja4!$B$4:$B$10</c:f>
              <c:numCache>
                <c:formatCode>General</c:formatCode>
                <c:ptCount val="7"/>
                <c:pt idx="0">
                  <c:v>3</c:v>
                </c:pt>
                <c:pt idx="1">
                  <c:v>14</c:v>
                </c:pt>
                <c:pt idx="2">
                  <c:v>10</c:v>
                </c:pt>
                <c:pt idx="3">
                  <c:v>27</c:v>
                </c:pt>
                <c:pt idx="4">
                  <c:v>9</c:v>
                </c:pt>
                <c:pt idx="5">
                  <c:v>10</c:v>
                </c:pt>
                <c:pt idx="6">
                  <c:v>7</c:v>
                </c:pt>
              </c:numCache>
            </c:numRef>
          </c:val>
        </c:ser>
        <c:axId val="1866169477"/>
        <c:axId val="1866169478"/>
      </c:barChart>
      <c:lineChart>
        <c:grouping val="standard"/>
        <c:varyColors val="0"/>
        <c:ser>
          <c:idx val="1"/>
          <c:order val="1"/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cat>
            <c:strRef>
              <c:f>Hoja4!$A$4:$A$10</c:f>
              <c:strCache>
                <c:ptCount val="7"/>
                <c:pt idx="0">
                  <c:v>53-59,29</c:v>
                </c:pt>
                <c:pt idx="1">
                  <c:v>59,29-65,58</c:v>
                </c:pt>
                <c:pt idx="2">
                  <c:v>65,58-71,87</c:v>
                </c:pt>
                <c:pt idx="3">
                  <c:v>71,87-78,16</c:v>
                </c:pt>
                <c:pt idx="4">
                  <c:v>78,16-84,45</c:v>
                </c:pt>
                <c:pt idx="5">
                  <c:v>84,45-90,74</c:v>
                </c:pt>
                <c:pt idx="6">
                  <c:v>90,74-97,03</c:v>
                </c:pt>
              </c:strCache>
            </c:strRef>
          </c:cat>
          <c:val>
            <c:numRef>
              <c:f>Hoja4!$C$4:$C$10</c:f>
              <c:numCache>
                <c:formatCode>General</c:formatCode>
                <c:ptCount val="7"/>
                <c:pt idx="0">
                  <c:v>3</c:v>
                </c:pt>
                <c:pt idx="1">
                  <c:v>14</c:v>
                </c:pt>
                <c:pt idx="2">
                  <c:v>10</c:v>
                </c:pt>
                <c:pt idx="3">
                  <c:v>27</c:v>
                </c:pt>
                <c:pt idx="4">
                  <c:v>9</c:v>
                </c:pt>
                <c:pt idx="5">
                  <c:v>10</c:v>
                </c:pt>
                <c:pt idx="6">
                  <c:v>7</c:v>
                </c:pt>
              </c:numCache>
            </c:numRef>
          </c:val>
          <c:smooth val="0"/>
        </c:ser>
        <c:marker val="0"/>
        <c:smooth val="0"/>
        <c:axId val="1866169477"/>
        <c:axId val="1866169478"/>
      </c:lineChart>
      <c:catAx>
        <c:axId val="1866169477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8"/>
        <c:crosses val="autoZero"/>
        <c:auto val="1"/>
        <c:lblAlgn val="ctr"/>
        <c:lblOffset val="100"/>
        <c:tickMarkSkip val="1"/>
        <c:noMultiLvlLbl val="0"/>
      </c:catAx>
      <c:valAx>
        <c:axId val="186616947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2968624" y="15239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130174</xdr:colOff>
      <xdr:row>0</xdr:row>
      <xdr:rowOff>152399</xdr:rowOff>
    </xdr:from>
    <xdr:to>
      <xdr:col>10</xdr:col>
      <xdr:colOff>415924</xdr:colOff>
      <xdr:row>18</xdr:row>
      <xdr:rowOff>19049</xdr:rowOff>
    </xdr:to>
    <xdr:graphicFrame>
      <xdr:nvGraphicFramePr>
        <xdr:cNvPr id="786175117" name=""/>
        <xdr:cNvGraphicFramePr>
          <a:graphicFrameLocks xmlns:a="http://schemas.openxmlformats.org/drawingml/2006/main"/>
        </xdr:cNvGraphicFramePr>
      </xdr:nvGraphicFramePr>
      <xdr:xfrm>
        <a:off x="2968624" y="15239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80">
  <cacheSource type="worksheet">
    <worksheetSource ref="A1:A81" sheet="Hoja2"/>
  </cacheSource>
  <cacheFields count="1">
    <cacheField name="Datos">
      <sharedItems containsSemiMixedTypes="0" containsString="0" containsNumber="1" containsInteger="1" minValue="53" maxValue="97" count="37">
        <n v="68"/>
        <n v="84"/>
        <n v="75"/>
        <n v="82"/>
        <n v="90"/>
        <n v="62"/>
        <n v="88"/>
        <n v="76"/>
        <n v="93"/>
        <n v="73"/>
        <n v="79"/>
        <n v="60"/>
        <n v="71"/>
        <n v="59"/>
        <n v="85"/>
        <n v="61"/>
        <n v="65"/>
        <n v="87"/>
        <n v="74"/>
        <n v="95"/>
        <n v="78"/>
        <n v="63"/>
        <n v="72"/>
        <n v="66"/>
        <n v="94"/>
        <n v="77"/>
        <n v="69"/>
        <n v="96"/>
        <n v="89"/>
        <n v="83"/>
        <n v="67"/>
        <n v="97"/>
        <n v="80"/>
        <n v="57"/>
        <n v="53"/>
        <n v="86"/>
        <n v="81"/>
      </sharedItems>
      <fieldGroup base="0">
        <rangePr startNum="53" endNum="97" groupInterval="6.29"/>
        <groupItems count="9">
          <s v="&lt;53"/>
          <s v="53-59,29"/>
          <s v="59,29-65,58"/>
          <s v="65,58-71,87"/>
          <s v="71,87-78,16"/>
          <s v="78,16-84,45"/>
          <s v="84,45-90,74"/>
          <s v="90,74-97,03"/>
          <s v="&gt;97,03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</r>
  <r>
    <x v="1"/>
  </r>
  <r>
    <x v="2"/>
  </r>
  <r>
    <x v="3"/>
  </r>
  <r>
    <x v="0"/>
  </r>
  <r>
    <x v="4"/>
  </r>
  <r>
    <x v="5"/>
  </r>
  <r>
    <x v="6"/>
  </r>
  <r>
    <x v="7"/>
  </r>
  <r>
    <x v="8"/>
  </r>
  <r>
    <x v="9"/>
  </r>
  <r>
    <x v="10"/>
  </r>
  <r>
    <x v="6"/>
  </r>
  <r>
    <x v="9"/>
  </r>
  <r>
    <x v="11"/>
  </r>
  <r>
    <x v="8"/>
  </r>
  <r>
    <x v="12"/>
  </r>
  <r>
    <x v="13"/>
  </r>
  <r>
    <x v="14"/>
  </r>
  <r>
    <x v="2"/>
  </r>
  <r>
    <x v="15"/>
  </r>
  <r>
    <x v="16"/>
  </r>
  <r>
    <x v="2"/>
  </r>
  <r>
    <x v="17"/>
  </r>
  <r>
    <x v="18"/>
  </r>
  <r>
    <x v="5"/>
  </r>
  <r>
    <x v="19"/>
  </r>
  <r>
    <x v="20"/>
  </r>
  <r>
    <x v="21"/>
  </r>
  <r>
    <x v="22"/>
  </r>
  <r>
    <x v="23"/>
  </r>
  <r>
    <x v="20"/>
  </r>
  <r>
    <x v="3"/>
  </r>
  <r>
    <x v="2"/>
  </r>
  <r>
    <x v="24"/>
  </r>
  <r>
    <x v="25"/>
  </r>
  <r>
    <x v="26"/>
  </r>
  <r>
    <x v="18"/>
  </r>
  <r>
    <x v="0"/>
  </r>
  <r>
    <x v="11"/>
  </r>
  <r>
    <x v="27"/>
  </r>
  <r>
    <x v="20"/>
  </r>
  <r>
    <x v="28"/>
  </r>
  <r>
    <x v="15"/>
  </r>
  <r>
    <x v="2"/>
  </r>
  <r>
    <x v="19"/>
  </r>
  <r>
    <x v="11"/>
  </r>
  <r>
    <x v="10"/>
  </r>
  <r>
    <x v="29"/>
  </r>
  <r>
    <x v="12"/>
  </r>
  <r>
    <x v="10"/>
  </r>
  <r>
    <x v="5"/>
  </r>
  <r>
    <x v="30"/>
  </r>
  <r>
    <x v="31"/>
  </r>
  <r>
    <x v="20"/>
  </r>
  <r>
    <x v="14"/>
  </r>
  <r>
    <x v="7"/>
  </r>
  <r>
    <x v="16"/>
  </r>
  <r>
    <x v="12"/>
  </r>
  <r>
    <x v="2"/>
  </r>
  <r>
    <x v="16"/>
  </r>
  <r>
    <x v="32"/>
  </r>
  <r>
    <x v="9"/>
  </r>
  <r>
    <x v="33"/>
  </r>
  <r>
    <x v="6"/>
  </r>
  <r>
    <x v="20"/>
  </r>
  <r>
    <x v="5"/>
  </r>
  <r>
    <x v="7"/>
  </r>
  <r>
    <x v="34"/>
  </r>
  <r>
    <x v="18"/>
  </r>
  <r>
    <x v="35"/>
  </r>
  <r>
    <x v="30"/>
  </r>
  <r>
    <x v="9"/>
  </r>
  <r>
    <x v="36"/>
  </r>
  <r>
    <x v="22"/>
  </r>
  <r>
    <x v="21"/>
  </r>
  <r>
    <x v="7"/>
  </r>
  <r>
    <x v="2"/>
  </r>
  <r>
    <x v="14"/>
  </r>
  <r>
    <x v="25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Tabla diná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B11" firstHeaderRow="1" firstDataRow="1" firstDataCol="1"/>
  <pivotFields count="1">
    <pivotField axis="axisRow"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r de Datos" fld="0" subtotal="count" baseField="0" baseItem="0"/>
  </dataFields>
  <pivotTableStyleInfo name="PivotStyleLight16" showRowHeaders="1" showColHeaders="1" showRowStripes="0" showColStripes="0" showLastColumn="1"/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bestFit="1" min="1" max="1" width="17.953125"/>
    <col bestFit="1" min="2" max="2" width="15.3828125"/>
  </cols>
  <sheetData>
    <row r="3" ht="12.75">
      <c r="A3" t="s">
        <v>0</v>
      </c>
      <c r="B3" t="s">
        <v>1</v>
      </c>
    </row>
    <row r="4" ht="12.75">
      <c r="A4" s="1" t="s">
        <v>2</v>
      </c>
      <c r="B4">
        <v>3</v>
      </c>
      <c r="C4" s="2">
        <v>3</v>
      </c>
    </row>
    <row r="5" ht="12.75">
      <c r="A5" s="1" t="s">
        <v>3</v>
      </c>
      <c r="B5">
        <v>14</v>
      </c>
      <c r="C5" s="2">
        <v>14</v>
      </c>
    </row>
    <row r="6" ht="12.75">
      <c r="A6" s="1" t="s">
        <v>4</v>
      </c>
      <c r="B6">
        <v>10</v>
      </c>
      <c r="C6" s="2">
        <v>10</v>
      </c>
    </row>
    <row r="7" ht="12.75">
      <c r="A7" s="1" t="s">
        <v>5</v>
      </c>
      <c r="B7">
        <v>27</v>
      </c>
      <c r="C7" s="2">
        <v>27</v>
      </c>
    </row>
    <row r="8" ht="12.75">
      <c r="A8" s="1" t="s">
        <v>6</v>
      </c>
      <c r="B8">
        <v>9</v>
      </c>
      <c r="C8" s="2">
        <v>9</v>
      </c>
    </row>
    <row r="9" ht="12.75">
      <c r="A9" s="1" t="s">
        <v>7</v>
      </c>
      <c r="B9">
        <v>10</v>
      </c>
      <c r="C9" s="2">
        <v>10</v>
      </c>
    </row>
    <row r="10" ht="12.75">
      <c r="A10" s="1" t="s">
        <v>8</v>
      </c>
      <c r="B10">
        <v>7</v>
      </c>
      <c r="C10" s="2">
        <v>7</v>
      </c>
    </row>
    <row r="11" ht="12.75">
      <c r="A11" s="1" t="s">
        <v>9</v>
      </c>
      <c r="B11">
        <v>80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40" workbookViewId="0">
      <selection activeCell="D5" activeCellId="0" sqref="D5"/>
    </sheetView>
  </sheetViews>
  <sheetFormatPr defaultRowHeight="12.75"/>
  <cols>
    <col customWidth="1" min="1" max="6" width="10.6722"/>
    <col bestFit="1" customWidth="1" min="7" max="7" width="14.23046875"/>
    <col customWidth="1" min="8" max="8" width="10.6722"/>
    <col customWidth="1" min="9" max="9" width="11.421875"/>
    <col customWidth="1" min="10" max="1024" width="10.6722"/>
  </cols>
  <sheetData>
    <row r="1" ht="12.75">
      <c r="A1" s="3" t="s">
        <v>10</v>
      </c>
    </row>
    <row r="2" ht="12.800000000000001" customHeight="1">
      <c r="A2">
        <v>68</v>
      </c>
      <c r="C2" t="s">
        <v>11</v>
      </c>
    </row>
    <row r="3" ht="12.800000000000001" customHeight="1">
      <c r="A3">
        <v>84</v>
      </c>
      <c r="C3" t="s">
        <v>12</v>
      </c>
    </row>
    <row r="4" ht="12.800000000000001" customHeight="1">
      <c r="A4">
        <v>75</v>
      </c>
    </row>
    <row r="5" ht="12.800000000000001" customHeight="1">
      <c r="A5">
        <v>82</v>
      </c>
    </row>
    <row r="6" ht="12.800000000000001" customHeight="1">
      <c r="A6">
        <v>68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16</v>
      </c>
    </row>
    <row r="7" ht="12.800000000000001" customHeight="1">
      <c r="A7">
        <v>90</v>
      </c>
      <c r="C7">
        <f>MAX(A2:A81)</f>
        <v>97</v>
      </c>
      <c r="D7">
        <f>MIN(A2:A81)</f>
        <v>53</v>
      </c>
      <c r="E7">
        <f>MODE(A2:A81)</f>
        <v>75</v>
      </c>
      <c r="F7">
        <f>COUNTIF(A2:A81,MODE(A2:A81))</f>
        <v>7</v>
      </c>
      <c r="G7">
        <f>MIN(IF(COUNTIF(A2:A81,_xlfn.SINGLE(A2:A81))=MIN(COUNTIF(A2:A81,_xlfn.SINGLE(A2:A81))),A2:A81))</f>
        <v>53</v>
      </c>
      <c r="H7">
        <f>MIN(COUNTIF(A2:A81,A2:A81))</f>
        <v>1</v>
      </c>
    </row>
    <row r="8" ht="12.800000000000001" customHeight="1">
      <c r="A8">
        <v>62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</row>
    <row r="9" ht="12.800000000000001" customHeight="1">
      <c r="A9">
        <v>88</v>
      </c>
      <c r="C9">
        <f>AVERAGE(A2:A81)</f>
        <v>75.25</v>
      </c>
      <c r="D9">
        <f>MEDIAN(A2:A81)</f>
        <v>75</v>
      </c>
      <c r="E9">
        <f>(E7-G7)</f>
        <v>22</v>
      </c>
      <c r="F9">
        <f>C7-D7</f>
        <v>44</v>
      </c>
      <c r="G9">
        <f>1+3.3*LOG10(80)</f>
        <v>7.2801969570734126</v>
      </c>
      <c r="H9">
        <f>F9/G10</f>
        <v>6.2857142857142856</v>
      </c>
    </row>
    <row r="10" ht="12.800000000000001" customHeight="1">
      <c r="A10">
        <v>76</v>
      </c>
      <c r="G10">
        <f>ROUND(G9,0)</f>
        <v>7</v>
      </c>
      <c r="H10">
        <f>ROUND(H9,2)</f>
        <v>6.29</v>
      </c>
      <c r="I10" s="4" t="s">
        <v>24</v>
      </c>
      <c r="J10" s="4"/>
    </row>
    <row r="11" ht="12.800000000000001" customHeight="1">
      <c r="A11">
        <v>93</v>
      </c>
      <c r="C11" s="3" t="s">
        <v>25</v>
      </c>
      <c r="D11" s="4" t="s">
        <v>26</v>
      </c>
      <c r="E11" s="4"/>
      <c r="F11" s="4" t="s">
        <v>27</v>
      </c>
      <c r="G11" s="4"/>
      <c r="I11" s="1" t="s">
        <v>2</v>
      </c>
      <c r="J11" s="2">
        <v>3</v>
      </c>
    </row>
    <row r="12" ht="12.800000000000001" customHeight="1">
      <c r="A12">
        <v>73</v>
      </c>
      <c r="C12" s="3" t="s">
        <v>28</v>
      </c>
      <c r="D12" s="3" t="s">
        <v>29</v>
      </c>
      <c r="E12" s="3" t="s">
        <v>30</v>
      </c>
      <c r="F12" s="3" t="s">
        <v>29</v>
      </c>
      <c r="G12" s="3" t="s">
        <v>30</v>
      </c>
      <c r="I12" s="1" t="s">
        <v>3</v>
      </c>
      <c r="J12" s="2">
        <v>14</v>
      </c>
    </row>
    <row r="13" ht="12.800000000000001" customHeight="1">
      <c r="A13">
        <v>79</v>
      </c>
      <c r="C13">
        <v>53</v>
      </c>
      <c r="D13">
        <f>COUNTIF($A$2:$A$81,C13)</f>
        <v>1</v>
      </c>
      <c r="E13">
        <f>D13</f>
        <v>1</v>
      </c>
      <c r="F13" s="5">
        <f>D13/$E$49</f>
        <v>0.012500000000000001</v>
      </c>
      <c r="G13" s="6">
        <f>F13</f>
        <v>0.012500000000000001</v>
      </c>
      <c r="I13" s="1" t="s">
        <v>4</v>
      </c>
      <c r="J13" s="2">
        <v>10</v>
      </c>
    </row>
    <row r="14" ht="12.800000000000001" customHeight="1">
      <c r="A14">
        <v>88</v>
      </c>
      <c r="C14">
        <v>57</v>
      </c>
      <c r="D14">
        <f>COUNTIF($A$2:$A$81,C14)</f>
        <v>1</v>
      </c>
      <c r="E14">
        <f>E13+D14</f>
        <v>2</v>
      </c>
      <c r="F14" s="5">
        <f>D14/$E$49</f>
        <v>0.012500000000000001</v>
      </c>
      <c r="G14" s="6">
        <f>G13+F14</f>
        <v>0.025000000000000001</v>
      </c>
      <c r="I14" s="1" t="s">
        <v>5</v>
      </c>
      <c r="J14" s="2">
        <v>27</v>
      </c>
    </row>
    <row r="15" ht="12.800000000000001" customHeight="1">
      <c r="A15">
        <v>73</v>
      </c>
      <c r="C15">
        <v>59</v>
      </c>
      <c r="D15">
        <f>COUNTIF($A$2:$A$81,C15)</f>
        <v>1</v>
      </c>
      <c r="E15">
        <f>E14+D15</f>
        <v>3</v>
      </c>
      <c r="F15" s="5">
        <f>D15/$E$49</f>
        <v>0.012500000000000001</v>
      </c>
      <c r="G15" s="6">
        <f>G14+F15</f>
        <v>0.037500000000000006</v>
      </c>
      <c r="I15" s="1" t="s">
        <v>6</v>
      </c>
      <c r="J15" s="2">
        <v>9</v>
      </c>
    </row>
    <row r="16" ht="12.800000000000001" customHeight="1">
      <c r="A16">
        <v>60</v>
      </c>
      <c r="C16">
        <v>60</v>
      </c>
      <c r="D16">
        <f>COUNTIF($A$2:$A$81,C16)</f>
        <v>3</v>
      </c>
      <c r="E16">
        <f>E15+D16</f>
        <v>6</v>
      </c>
      <c r="F16" s="5">
        <f>D16/$E$49</f>
        <v>0.037499999999999999</v>
      </c>
      <c r="G16" s="6">
        <f>G15+F16</f>
        <v>0.075000000000000011</v>
      </c>
      <c r="I16" s="1" t="s">
        <v>7</v>
      </c>
      <c r="J16" s="2">
        <v>10</v>
      </c>
    </row>
    <row r="17" ht="12.800000000000001" customHeight="1">
      <c r="A17">
        <v>93</v>
      </c>
      <c r="C17">
        <v>61</v>
      </c>
      <c r="D17">
        <f>COUNTIF($A$2:$A$81,C17)</f>
        <v>2</v>
      </c>
      <c r="E17">
        <f>E16+D17</f>
        <v>8</v>
      </c>
      <c r="F17" s="5">
        <f>D17/$E$49</f>
        <v>0.025000000000000001</v>
      </c>
      <c r="G17" s="6">
        <f>G16+F17</f>
        <v>0.10000000000000001</v>
      </c>
      <c r="I17" s="1" t="s">
        <v>8</v>
      </c>
      <c r="J17" s="2">
        <v>7</v>
      </c>
    </row>
    <row r="18" ht="12.800000000000001" customHeight="1">
      <c r="A18">
        <v>71</v>
      </c>
      <c r="C18">
        <v>62</v>
      </c>
      <c r="D18">
        <f>COUNTIF($A$2:$A$81,C18)</f>
        <v>4</v>
      </c>
      <c r="E18">
        <f>E17+D18</f>
        <v>12</v>
      </c>
      <c r="F18" s="5">
        <f>D18/$E$49</f>
        <v>0.050000000000000003</v>
      </c>
      <c r="G18" s="6">
        <f>G17+F18</f>
        <v>0.15000000000000002</v>
      </c>
      <c r="I18" s="1" t="s">
        <v>9</v>
      </c>
      <c r="J18" s="2">
        <v>80</v>
      </c>
    </row>
    <row r="19" ht="12.800000000000001" customHeight="1">
      <c r="A19">
        <v>59</v>
      </c>
      <c r="C19">
        <v>63</v>
      </c>
      <c r="D19">
        <f>COUNTIF($A$2:$A$81,C19)</f>
        <v>2</v>
      </c>
      <c r="E19">
        <f>E18+D19</f>
        <v>14</v>
      </c>
      <c r="F19" s="5">
        <f>D19/$E$49</f>
        <v>0.025000000000000001</v>
      </c>
      <c r="G19" s="6">
        <f>G18+F19</f>
        <v>0.17500000000000002</v>
      </c>
    </row>
    <row r="20" ht="12.800000000000001" customHeight="1">
      <c r="A20">
        <v>85</v>
      </c>
      <c r="C20">
        <v>65</v>
      </c>
      <c r="D20">
        <f>COUNTIF($A$2:$A$81,C20)</f>
        <v>3</v>
      </c>
      <c r="E20">
        <f>E19+D20</f>
        <v>17</v>
      </c>
      <c r="F20" s="5">
        <f>D20/$E$49</f>
        <v>0.037499999999999999</v>
      </c>
      <c r="G20" s="6">
        <f>G19+F20</f>
        <v>0.21250000000000002</v>
      </c>
    </row>
    <row r="21" ht="12.800000000000001" customHeight="1">
      <c r="A21">
        <v>75</v>
      </c>
      <c r="C21">
        <v>66</v>
      </c>
      <c r="D21">
        <f>COUNTIF($A$2:$A$81,C21)</f>
        <v>1</v>
      </c>
      <c r="E21">
        <f>E20+D21</f>
        <v>18</v>
      </c>
      <c r="F21" s="5">
        <f>D21/$E$49</f>
        <v>0.012500000000000001</v>
      </c>
      <c r="G21" s="6">
        <f>G20+F21</f>
        <v>0.22500000000000003</v>
      </c>
    </row>
    <row r="22" ht="12.800000000000001" customHeight="1">
      <c r="A22">
        <v>61</v>
      </c>
      <c r="C22">
        <v>67</v>
      </c>
      <c r="D22">
        <f>COUNTIF($A$2:$A$81,C22)</f>
        <v>2</v>
      </c>
      <c r="E22">
        <f>E21+D22</f>
        <v>20</v>
      </c>
      <c r="F22" s="5">
        <f>D22/$E$49</f>
        <v>0.025000000000000001</v>
      </c>
      <c r="G22" s="6">
        <f>G21+F22</f>
        <v>0.25000000000000006</v>
      </c>
    </row>
    <row r="23" ht="12.800000000000001" customHeight="1">
      <c r="A23">
        <v>65</v>
      </c>
      <c r="C23">
        <v>68</v>
      </c>
      <c r="D23">
        <f>COUNTIF($A$2:$A$81,C23)</f>
        <v>3</v>
      </c>
      <c r="E23">
        <f>E22+D23</f>
        <v>23</v>
      </c>
      <c r="F23" s="5">
        <f>D23/$E$49</f>
        <v>0.037499999999999999</v>
      </c>
      <c r="G23" s="6">
        <f>G22+F23</f>
        <v>0.28750000000000003</v>
      </c>
    </row>
    <row r="24" ht="12.800000000000001" customHeight="1">
      <c r="A24">
        <v>75</v>
      </c>
      <c r="C24">
        <v>69</v>
      </c>
      <c r="D24">
        <f>COUNTIF($A$2:$A$81,C24)</f>
        <v>1</v>
      </c>
      <c r="E24">
        <f>E23+D24</f>
        <v>24</v>
      </c>
      <c r="F24" s="5">
        <f>D24/$E$49</f>
        <v>0.012500000000000001</v>
      </c>
      <c r="G24" s="6">
        <f>G23+F24</f>
        <v>0.30000000000000004</v>
      </c>
    </row>
    <row r="25" ht="12.800000000000001" customHeight="1">
      <c r="A25">
        <v>87</v>
      </c>
      <c r="C25">
        <v>71</v>
      </c>
      <c r="D25">
        <f>COUNTIF($A$2:$A$81,C25)</f>
        <v>3</v>
      </c>
      <c r="E25">
        <f>E24+D25</f>
        <v>27</v>
      </c>
      <c r="F25" s="5">
        <f>D25/$E$49</f>
        <v>0.037499999999999999</v>
      </c>
      <c r="G25" s="6">
        <f>G24+F25</f>
        <v>0.33750000000000002</v>
      </c>
    </row>
    <row r="26" ht="12.800000000000001" customHeight="1">
      <c r="A26">
        <v>74</v>
      </c>
      <c r="C26">
        <v>72</v>
      </c>
      <c r="D26">
        <f>COUNTIF($A$2:$A$81,C26)</f>
        <v>2</v>
      </c>
      <c r="E26">
        <f>E25+D26</f>
        <v>29</v>
      </c>
      <c r="F26" s="5">
        <f>D26/$E$49</f>
        <v>0.025000000000000001</v>
      </c>
      <c r="G26" s="6">
        <f>G25+F26</f>
        <v>0.36250000000000004</v>
      </c>
    </row>
    <row r="27" ht="12.800000000000001" customHeight="1">
      <c r="A27">
        <v>62</v>
      </c>
      <c r="C27">
        <v>73</v>
      </c>
      <c r="D27">
        <f>COUNTIF($A$2:$A$81,C27)</f>
        <v>4</v>
      </c>
      <c r="E27">
        <f>E26+D27</f>
        <v>33</v>
      </c>
      <c r="F27" s="5">
        <f>D27/$E$49</f>
        <v>0.050000000000000003</v>
      </c>
      <c r="G27" s="6">
        <f>G26+F27</f>
        <v>0.41250000000000003</v>
      </c>
    </row>
    <row r="28" ht="12.800000000000001" customHeight="1">
      <c r="A28">
        <v>95</v>
      </c>
      <c r="C28">
        <v>74</v>
      </c>
      <c r="D28">
        <f>COUNTIF($A$2:$A$81,C28)</f>
        <v>3</v>
      </c>
      <c r="E28">
        <f>E27+D28</f>
        <v>36</v>
      </c>
      <c r="F28" s="5">
        <f>D28/$E$49</f>
        <v>0.037499999999999999</v>
      </c>
      <c r="G28" s="6">
        <f>G27+F28</f>
        <v>0.45000000000000001</v>
      </c>
    </row>
    <row r="29" ht="12.800000000000001" customHeight="1">
      <c r="A29">
        <v>78</v>
      </c>
      <c r="C29">
        <v>75</v>
      </c>
      <c r="D29">
        <f>COUNTIF($A$2:$A$81,C29)</f>
        <v>7</v>
      </c>
      <c r="E29">
        <f>E28+D29</f>
        <v>43</v>
      </c>
      <c r="F29" s="5">
        <f>D29/$E$49</f>
        <v>0.087499999999999994</v>
      </c>
      <c r="G29" s="6">
        <f>G28+F29</f>
        <v>0.53749999999999998</v>
      </c>
    </row>
    <row r="30" ht="12.800000000000001" customHeight="1">
      <c r="A30">
        <v>63</v>
      </c>
      <c r="C30">
        <v>76</v>
      </c>
      <c r="D30">
        <f>COUNTIF($A$2:$A$81,C30)</f>
        <v>4</v>
      </c>
      <c r="E30">
        <f>E29+D30</f>
        <v>47</v>
      </c>
      <c r="F30" s="5">
        <f>D30/$E$49</f>
        <v>0.050000000000000003</v>
      </c>
      <c r="G30" s="6">
        <f>G29+F30</f>
        <v>0.58750000000000002</v>
      </c>
    </row>
    <row r="31" ht="12.800000000000001" customHeight="1">
      <c r="A31">
        <v>72</v>
      </c>
      <c r="C31">
        <v>77</v>
      </c>
      <c r="D31">
        <f>COUNTIF($A$2:$A$81,C31)</f>
        <v>2</v>
      </c>
      <c r="E31">
        <f>E30+D31</f>
        <v>49</v>
      </c>
      <c r="F31" s="5">
        <f>D31/$E$49</f>
        <v>0.025000000000000001</v>
      </c>
      <c r="G31" s="6">
        <f>G30+F31</f>
        <v>0.61250000000000004</v>
      </c>
    </row>
    <row r="32" ht="12.800000000000001" customHeight="1">
      <c r="A32">
        <v>66</v>
      </c>
      <c r="C32">
        <v>78</v>
      </c>
      <c r="D32">
        <f>COUNTIF($A$2:$A$81,C32)</f>
        <v>5</v>
      </c>
      <c r="E32">
        <f>E31+D32</f>
        <v>54</v>
      </c>
      <c r="F32" s="5">
        <f>D32/$E$49</f>
        <v>0.0625</v>
      </c>
      <c r="G32" s="6">
        <f>G31+F32</f>
        <v>0.67500000000000004</v>
      </c>
    </row>
    <row r="33" ht="12.800000000000001" customHeight="1">
      <c r="A33">
        <v>78</v>
      </c>
      <c r="C33">
        <v>79</v>
      </c>
      <c r="D33">
        <f>COUNTIF($A$2:$A$81,C33)</f>
        <v>3</v>
      </c>
      <c r="E33">
        <f>E32+D33</f>
        <v>57</v>
      </c>
      <c r="F33" s="5">
        <f>D33/$E$49</f>
        <v>0.037499999999999999</v>
      </c>
      <c r="G33" s="6">
        <f>G32+F33</f>
        <v>0.71250000000000002</v>
      </c>
    </row>
    <row r="34" ht="12.800000000000001" customHeight="1">
      <c r="A34">
        <v>82</v>
      </c>
      <c r="C34">
        <v>80</v>
      </c>
      <c r="D34">
        <f>COUNTIF($A$2:$A$81,C34)</f>
        <v>1</v>
      </c>
      <c r="E34">
        <f>E33+D34</f>
        <v>58</v>
      </c>
      <c r="F34" s="5">
        <f>D34/$E$49</f>
        <v>0.012500000000000001</v>
      </c>
      <c r="G34" s="6">
        <f>G33+F34</f>
        <v>0.72499999999999998</v>
      </c>
    </row>
    <row r="35" ht="12.800000000000001" customHeight="1">
      <c r="A35">
        <v>75</v>
      </c>
      <c r="C35">
        <v>81</v>
      </c>
      <c r="D35">
        <f>COUNTIF($A$2:$A$81,C35)</f>
        <v>1</v>
      </c>
      <c r="E35">
        <f>E34+D35</f>
        <v>59</v>
      </c>
      <c r="F35" s="5">
        <f>D35/$E$49</f>
        <v>0.012500000000000001</v>
      </c>
      <c r="G35" s="6">
        <f>G34+F35</f>
        <v>0.73749999999999993</v>
      </c>
    </row>
    <row r="36" ht="12.800000000000001" customHeight="1">
      <c r="A36">
        <v>94</v>
      </c>
      <c r="C36">
        <v>82</v>
      </c>
      <c r="D36">
        <f>COUNTIF($A$2:$A$81,C36)</f>
        <v>2</v>
      </c>
      <c r="E36">
        <f>E35+D36</f>
        <v>61</v>
      </c>
      <c r="F36" s="5">
        <f>D36/$E$49</f>
        <v>0.025000000000000001</v>
      </c>
      <c r="G36" s="6">
        <f>G35+F36</f>
        <v>0.76249999999999996</v>
      </c>
    </row>
    <row r="37" ht="12.800000000000001" customHeight="1">
      <c r="A37">
        <v>77</v>
      </c>
      <c r="C37">
        <v>83</v>
      </c>
      <c r="D37">
        <f>COUNTIF($A$2:$A$81,C37)</f>
        <v>1</v>
      </c>
      <c r="E37">
        <f>E36+D37</f>
        <v>62</v>
      </c>
      <c r="F37" s="5">
        <f>D37/$E$49</f>
        <v>0.012500000000000001</v>
      </c>
      <c r="G37" s="6">
        <f>G36+F37</f>
        <v>0.77499999999999991</v>
      </c>
    </row>
    <row r="38" ht="12.800000000000001" customHeight="1">
      <c r="A38">
        <v>69</v>
      </c>
      <c r="C38">
        <v>84</v>
      </c>
      <c r="D38">
        <f>COUNTIF($A$2:$A$81,C38)</f>
        <v>1</v>
      </c>
      <c r="E38">
        <f>E37+D38</f>
        <v>63</v>
      </c>
      <c r="F38" s="5">
        <f>D38/$E$49</f>
        <v>0.012500000000000001</v>
      </c>
      <c r="G38" s="6">
        <f>G37+F38</f>
        <v>0.78749999999999987</v>
      </c>
    </row>
    <row r="39" ht="12.800000000000001" customHeight="1">
      <c r="A39">
        <v>74</v>
      </c>
      <c r="C39">
        <v>85</v>
      </c>
      <c r="D39">
        <f>COUNTIF($A$2:$A$81,C39)</f>
        <v>3</v>
      </c>
      <c r="E39">
        <f>E38+D39</f>
        <v>66</v>
      </c>
      <c r="F39" s="5">
        <f>D39/$E$49</f>
        <v>0.037499999999999999</v>
      </c>
      <c r="G39" s="6">
        <f>G38+F39</f>
        <v>0.82499999999999984</v>
      </c>
    </row>
    <row r="40" ht="12.800000000000001" customHeight="1">
      <c r="A40">
        <v>68</v>
      </c>
      <c r="C40">
        <v>86</v>
      </c>
      <c r="D40">
        <f>COUNTIF($A$2:$A$81,C40)</f>
        <v>1</v>
      </c>
      <c r="E40">
        <f>E39+D40</f>
        <v>67</v>
      </c>
      <c r="F40" s="5">
        <f>D40/$E$49</f>
        <v>0.012500000000000001</v>
      </c>
      <c r="G40" s="6">
        <f>G39+F40</f>
        <v>0.8374999999999998</v>
      </c>
    </row>
    <row r="41" ht="12.800000000000001" customHeight="1">
      <c r="A41">
        <v>60</v>
      </c>
      <c r="C41">
        <v>87</v>
      </c>
      <c r="D41">
        <f>COUNTIF($A$2:$A$81,C41)</f>
        <v>1</v>
      </c>
      <c r="E41">
        <f>E40+D41</f>
        <v>68</v>
      </c>
      <c r="F41" s="5">
        <f>D41/$E$49</f>
        <v>0.012500000000000001</v>
      </c>
      <c r="G41" s="6">
        <f>G40+F41</f>
        <v>0.84999999999999976</v>
      </c>
    </row>
    <row r="42" ht="12.800000000000001" customHeight="1">
      <c r="A42">
        <v>96</v>
      </c>
      <c r="C42">
        <v>88</v>
      </c>
      <c r="D42">
        <f>COUNTIF($A$2:$A$81,C42)</f>
        <v>3</v>
      </c>
      <c r="E42">
        <f>E41+D42</f>
        <v>71</v>
      </c>
      <c r="F42" s="5">
        <f>D42/$E$49</f>
        <v>0.037499999999999999</v>
      </c>
      <c r="G42" s="6">
        <f>G41+F42</f>
        <v>0.88749999999999973</v>
      </c>
    </row>
    <row r="43" ht="12.800000000000001" customHeight="1">
      <c r="A43">
        <v>78</v>
      </c>
      <c r="C43">
        <v>89</v>
      </c>
      <c r="D43">
        <f>COUNTIF($A$2:$A$81,C43)</f>
        <v>1</v>
      </c>
      <c r="E43">
        <f>E42+D43</f>
        <v>72</v>
      </c>
      <c r="F43" s="5">
        <f>D43/$E$49</f>
        <v>0.012500000000000001</v>
      </c>
      <c r="G43" s="6">
        <f>G42+F43</f>
        <v>0.89999999999999969</v>
      </c>
    </row>
    <row r="44" ht="12.800000000000001" customHeight="1">
      <c r="A44">
        <v>89</v>
      </c>
      <c r="C44">
        <v>90</v>
      </c>
      <c r="D44">
        <f>COUNTIF($A$2:$A$81,C44)</f>
        <v>1</v>
      </c>
      <c r="E44">
        <f>E43+D44</f>
        <v>73</v>
      </c>
      <c r="F44" s="5">
        <f>D44/$E$49</f>
        <v>0.012500000000000001</v>
      </c>
      <c r="G44" s="6">
        <f>G43+F44</f>
        <v>0.91249999999999964</v>
      </c>
    </row>
    <row r="45" ht="12.800000000000001" customHeight="1">
      <c r="A45">
        <v>61</v>
      </c>
      <c r="C45">
        <v>93</v>
      </c>
      <c r="D45">
        <f>COUNTIF($A$2:$A$81,C45)</f>
        <v>2</v>
      </c>
      <c r="E45">
        <f>E44+D45</f>
        <v>75</v>
      </c>
      <c r="F45" s="5">
        <f>D45/$E$49</f>
        <v>0.025000000000000001</v>
      </c>
      <c r="G45" s="6">
        <f>G44+F45</f>
        <v>0.93749999999999967</v>
      </c>
    </row>
    <row r="46" ht="12.800000000000001" customHeight="1">
      <c r="A46">
        <v>75</v>
      </c>
      <c r="C46">
        <v>94</v>
      </c>
      <c r="D46">
        <f>COUNTIF($A$2:$A$81,C46)</f>
        <v>1</v>
      </c>
      <c r="E46">
        <f>E45+D46</f>
        <v>76</v>
      </c>
      <c r="F46" s="5">
        <f>D46/$E$49</f>
        <v>0.012500000000000001</v>
      </c>
      <c r="G46" s="6">
        <f>G45+F46</f>
        <v>0.94999999999999962</v>
      </c>
    </row>
    <row r="47" ht="12.800000000000001" customHeight="1">
      <c r="A47">
        <v>95</v>
      </c>
      <c r="C47">
        <v>95</v>
      </c>
      <c r="D47">
        <f>COUNTIF($A$2:$A$81,C47)</f>
        <v>2</v>
      </c>
      <c r="E47">
        <f>E46+D47</f>
        <v>78</v>
      </c>
      <c r="F47" s="5">
        <f>D47/$E$49</f>
        <v>0.025000000000000001</v>
      </c>
      <c r="G47" s="6">
        <f>G46+F47</f>
        <v>0.97499999999999964</v>
      </c>
    </row>
    <row r="48" ht="12.800000000000001" customHeight="1">
      <c r="A48">
        <v>60</v>
      </c>
      <c r="C48">
        <v>96</v>
      </c>
      <c r="D48">
        <f>COUNTIF($A$2:$A$81,C48)</f>
        <v>1</v>
      </c>
      <c r="E48">
        <f>E47+D48</f>
        <v>79</v>
      </c>
      <c r="F48" s="5">
        <f>D48/$E$49</f>
        <v>0.012500000000000001</v>
      </c>
      <c r="G48" s="6">
        <f>G47+F48</f>
        <v>0.9874999999999996</v>
      </c>
    </row>
    <row r="49" ht="12.800000000000001" customHeight="1">
      <c r="A49">
        <v>79</v>
      </c>
      <c r="C49">
        <v>97</v>
      </c>
      <c r="D49">
        <f>COUNTIF($A$2:$A$81,C49)</f>
        <v>1</v>
      </c>
      <c r="E49">
        <f>E48+D49</f>
        <v>80</v>
      </c>
      <c r="F49" s="5">
        <f>D49/$E$49</f>
        <v>0.012500000000000001</v>
      </c>
      <c r="G49" s="6">
        <f>G48+F49</f>
        <v>0.99999999999999956</v>
      </c>
    </row>
    <row r="50" ht="12.800000000000001" customHeight="1">
      <c r="A50">
        <v>83</v>
      </c>
    </row>
    <row r="51" ht="12.800000000000001" customHeight="1">
      <c r="A51">
        <v>71</v>
      </c>
    </row>
    <row r="52" ht="12.800000000000001" customHeight="1">
      <c r="A52">
        <v>79</v>
      </c>
    </row>
    <row r="53" ht="12.800000000000001" customHeight="1">
      <c r="A53">
        <v>62</v>
      </c>
    </row>
    <row r="54" ht="12.800000000000001" customHeight="1">
      <c r="A54">
        <v>67</v>
      </c>
    </row>
    <row r="55" ht="12.800000000000001" customHeight="1">
      <c r="A55">
        <v>97</v>
      </c>
    </row>
    <row r="56" ht="12.800000000000001" customHeight="1">
      <c r="A56">
        <v>78</v>
      </c>
    </row>
    <row r="57" ht="12.800000000000001" customHeight="1">
      <c r="A57">
        <v>85</v>
      </c>
    </row>
    <row r="58" ht="12.800000000000001" customHeight="1">
      <c r="A58">
        <v>76</v>
      </c>
    </row>
    <row r="59" ht="12.800000000000001" customHeight="1">
      <c r="A59">
        <v>65</v>
      </c>
    </row>
    <row r="60" ht="12.800000000000001" customHeight="1">
      <c r="A60">
        <v>71</v>
      </c>
    </row>
    <row r="61" ht="12.800000000000001" customHeight="1">
      <c r="A61">
        <v>75</v>
      </c>
    </row>
    <row r="62" ht="12.800000000000001" customHeight="1">
      <c r="A62">
        <v>65</v>
      </c>
    </row>
    <row r="63" ht="12.800000000000001" customHeight="1">
      <c r="A63">
        <v>80</v>
      </c>
    </row>
    <row r="64" ht="12.800000000000001" customHeight="1">
      <c r="A64">
        <v>73</v>
      </c>
    </row>
    <row r="65" ht="12.800000000000001" customHeight="1">
      <c r="A65">
        <v>57</v>
      </c>
    </row>
    <row r="66" ht="12.800000000000001" customHeight="1">
      <c r="A66">
        <v>88</v>
      </c>
    </row>
    <row r="67" ht="12.800000000000001" customHeight="1">
      <c r="A67">
        <v>78</v>
      </c>
    </row>
    <row r="68" ht="12.800000000000001" customHeight="1">
      <c r="A68">
        <v>62</v>
      </c>
    </row>
    <row r="69" ht="12.800000000000001" customHeight="1">
      <c r="A69">
        <v>76</v>
      </c>
    </row>
    <row r="70" ht="12.800000000000001" customHeight="1">
      <c r="A70">
        <v>53</v>
      </c>
    </row>
    <row r="71" ht="12.800000000000001" customHeight="1">
      <c r="A71">
        <v>74</v>
      </c>
    </row>
    <row r="72" ht="12.800000000000001" customHeight="1">
      <c r="A72">
        <v>86</v>
      </c>
    </row>
    <row r="73" ht="12.800000000000001" customHeight="1">
      <c r="A73">
        <v>67</v>
      </c>
    </row>
    <row r="74" ht="12.800000000000001" customHeight="1">
      <c r="A74">
        <v>73</v>
      </c>
    </row>
    <row r="75" ht="12.800000000000001" customHeight="1">
      <c r="A75">
        <v>81</v>
      </c>
    </row>
    <row r="76" ht="12.800000000000001" customHeight="1">
      <c r="A76">
        <v>72</v>
      </c>
    </row>
    <row r="77" ht="12.800000000000001" customHeight="1">
      <c r="A77">
        <v>63</v>
      </c>
    </row>
    <row r="78" ht="12.800000000000001" customHeight="1">
      <c r="A78">
        <v>76</v>
      </c>
    </row>
    <row r="79" ht="12.800000000000001" customHeight="1">
      <c r="A79">
        <v>75</v>
      </c>
    </row>
    <row r="80" ht="12.800000000000001" customHeight="1">
      <c r="A80">
        <v>85</v>
      </c>
    </row>
    <row r="81" ht="12.800000000000001" customHeight="1">
      <c r="A81">
        <v>77</v>
      </c>
    </row>
  </sheetData>
  <mergeCells count="3">
    <mergeCell ref="I10:J10"/>
    <mergeCell ref="D11:E11"/>
    <mergeCell ref="F11:G1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&amp;A</oddHeader>
    <oddFooter>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40" workbookViewId="0">
      <selection activeCell="E10" activeCellId="0" sqref="E10"/>
    </sheetView>
  </sheetViews>
  <sheetFormatPr defaultRowHeight="12.75"/>
  <cols>
    <col customWidth="1" min="1" max="1024" width="10.6722"/>
  </cols>
  <sheetData>
    <row r="1" ht="12.800000000000001" customHeight="1"/>
    <row r="2" ht="12.800000000000001" customHeight="1"/>
    <row r="3" ht="12.800000000000001" customHeight="1"/>
    <row r="4" ht="12.800000000000001" customHeight="1"/>
    <row r="5" ht="12.800000000000001" customHeight="1"/>
    <row r="6" ht="12.800000000000001" customHeight="1"/>
    <row r="7" ht="12.800000000000001" customHeight="1"/>
    <row r="8" ht="12.800000000000001" customHeight="1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&amp;A</oddHead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2026-09-05T03:54:07Z</dcterms:modified>
</cp:coreProperties>
</file>